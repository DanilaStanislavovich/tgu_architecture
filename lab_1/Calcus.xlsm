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8" activeTab="1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3" i="2"/>
  <c r="H2" i="2"/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" i="2"/>
  <c r="K3" i="2"/>
  <c r="I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" i="2"/>
  <c r="L2" i="2" l="1"/>
  <c r="I3" i="2"/>
  <c r="K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J15" i="1"/>
  <c r="J12" i="1"/>
  <c r="J13" i="1" l="1"/>
  <c r="J14" i="1" l="1"/>
  <c r="J11" i="1"/>
  <c r="J16" i="1" l="1"/>
  <c r="L12" i="2"/>
  <c r="L15" i="2"/>
  <c r="L18" i="2"/>
  <c r="L24" i="2"/>
  <c r="L17" i="2"/>
  <c r="L11" i="2"/>
  <c r="L23" i="2"/>
  <c r="L19" i="2"/>
  <c r="L13" i="2"/>
  <c r="L4" i="2"/>
  <c r="L21" i="2"/>
  <c r="L14" i="2"/>
  <c r="L22" i="2"/>
  <c r="L3" i="2"/>
  <c r="L20" i="2"/>
  <c r="L7" i="2"/>
  <c r="L9" i="2"/>
  <c r="L6" i="2"/>
  <c r="L8" i="2"/>
  <c r="L16" i="2"/>
  <c r="L10" i="2"/>
  <c r="L5" i="2"/>
  <c r="L25" i="2"/>
  <c r="L26" i="2"/>
</calcChain>
</file>

<file path=xl/sharedStrings.xml><?xml version="1.0" encoding="utf-8"?>
<sst xmlns="http://schemas.openxmlformats.org/spreadsheetml/2006/main" count="49" uniqueCount="40">
  <si>
    <t xml:space="preserve">Автомобиль ввозит </t>
  </si>
  <si>
    <t xml:space="preserve">Возраст автомобиля </t>
  </si>
  <si>
    <t>Физическое лицо</t>
  </si>
  <si>
    <t xml:space="preserve"> Юридическое лицо</t>
  </si>
  <si>
    <t>Параметр</t>
  </si>
  <si>
    <t>Параметр:</t>
  </si>
  <si>
    <t>до 3 лет</t>
  </si>
  <si>
    <t>от 3 до 5</t>
  </si>
  <si>
    <t>Вариант:</t>
  </si>
  <si>
    <t>Расшифровка варианта:</t>
  </si>
  <si>
    <t>от 5 до 7</t>
  </si>
  <si>
    <t>более 7</t>
  </si>
  <si>
    <t>Тип двигателя</t>
  </si>
  <si>
    <t xml:space="preserve">Бензиновый </t>
  </si>
  <si>
    <t xml:space="preserve">Дизельный </t>
  </si>
  <si>
    <t>Гибридный</t>
  </si>
  <si>
    <t>Электрический</t>
  </si>
  <si>
    <t>Калькулятор растаможки автомобилей</t>
  </si>
  <si>
    <t>Значение</t>
  </si>
  <si>
    <t>Автомобиль ввозит</t>
  </si>
  <si>
    <t>Возраст автомобиля</t>
  </si>
  <si>
    <t>Мощность двигателя, ЛС</t>
  </si>
  <si>
    <t>Объем двигателя, см3</t>
  </si>
  <si>
    <t>Стоимость автомобиля, руб.</t>
  </si>
  <si>
    <t>Итого, руб.:</t>
  </si>
  <si>
    <t>Платежи</t>
  </si>
  <si>
    <t>Название</t>
  </si>
  <si>
    <t>Сумма</t>
  </si>
  <si>
    <t>Сбор за таможенное оформление</t>
  </si>
  <si>
    <t>Таможенная пошлина</t>
  </si>
  <si>
    <t>Утилизационный сбор</t>
  </si>
  <si>
    <t>НДС</t>
  </si>
  <si>
    <t>Акциз</t>
  </si>
  <si>
    <t>Курс Евро</t>
  </si>
  <si>
    <t>`</t>
  </si>
  <si>
    <t xml:space="preserve">Alt+F8 для расчета  </t>
  </si>
  <si>
    <t>Мощность двигателя</t>
  </si>
  <si>
    <t>Объем двигателя</t>
  </si>
  <si>
    <t>Стоимость автомобиля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</si>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</sst>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4" xfId="0" applyBorder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3" xfId="0" applyFill="1" applyBorder="1"/>
    <xf numFmtId="0" fontId="0" fillId="2" borderId="12" xfId="0" applyFill="1" applyBorder="1"/>
    <xf numFmtId="0" fontId="0" fillId="2" borderId="1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11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3" xfId="0" applyFill="1" applyBorder="1"/>
    <xf numFmtId="0" fontId="0" fillId="3" borderId="12" xfId="0" applyFill="1" applyBorder="1"/>
    <xf numFmtId="0" fontId="0" fillId="3" borderId="13" xfId="0" applyFill="1" applyBorder="1"/>
    <xf numFmtId="0" fontId="0" fillId="4" borderId="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11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15" xfId="0" applyBorder="1"/>
    <xf numFmtId="0" fontId="0" fillId="5" borderId="4" xfId="0" applyFill="1" applyBorder="1"/>
    <xf numFmtId="0" fontId="0" fillId="5" borderId="5" xfId="0" applyFill="1" applyBorder="1"/>
    <xf numFmtId="0" fontId="0" fillId="5" borderId="1" xfId="0" applyFill="1" applyBorder="1"/>
    <xf numFmtId="0" fontId="0" fillId="0" borderId="16" xfId="0" applyFill="1" applyBorder="1"/>
    <xf numFmtId="0" fontId="0" fillId="5" borderId="8" xfId="0" applyFill="1" applyBorder="1"/>
    <xf numFmtId="0" fontId="0" fillId="0" borderId="1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17" xfId="0" applyBorder="1"/>
    <xf numFmtId="0" fontId="0" fillId="0" borderId="18" xfId="0" applyBorder="1"/>
    <xf numFmtId="0" fontId="0" fillId="6" borderId="1" xfId="0" applyFill="1" applyBorder="1"/>
    <xf numFmtId="0" fontId="0" fillId="7" borderId="1" xfId="0" applyFill="1" applyBorder="1"/>
    <xf numFmtId="0" fontId="0" fillId="0" borderId="18" xfId="0" applyNumberFormat="1" applyBorder="1"/>
    <xf numFmtId="0" fontId="0" fillId="0" borderId="17" xfId="0" applyNumberFormat="1" applyBorder="1"/>
    <xf numFmtId="0" fontId="0" fillId="7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K21"/>
  <sheetViews>
    <sheetView workbookViewId="0">
      <selection activeCell="J2" sqref="J2"/>
    </sheetView>
  </sheetViews>
  <sheetFormatPr defaultRowHeight="14.4" x14ac:dyDescent="0.3"/>
  <cols>
    <col min="1" max="1" width="26.33203125" customWidth="1"/>
    <col min="2" max="2" width="13.33203125" customWidth="1"/>
    <col min="3" max="3" width="27.109375" customWidth="1"/>
    <col min="8" max="8" width="35.44140625" customWidth="1"/>
    <col min="9" max="9" width="31.77734375" customWidth="1"/>
    <col min="10" max="10" width="19.44140625" customWidth="1"/>
    <col min="11" max="11" width="17.5546875" customWidth="1"/>
  </cols>
  <sheetData>
    <row r="1" spans="1:11" ht="15" thickBot="1" x14ac:dyDescent="0.35">
      <c r="A1" s="3" t="s">
        <v>5</v>
      </c>
      <c r="B1" s="4" t="s">
        <v>8</v>
      </c>
      <c r="C1" s="5" t="s">
        <v>9</v>
      </c>
      <c r="H1" s="34" t="s">
        <v>17</v>
      </c>
      <c r="I1" s="34" t="s">
        <v>4</v>
      </c>
      <c r="J1" s="34" t="s">
        <v>18</v>
      </c>
    </row>
    <row r="2" spans="1:11" x14ac:dyDescent="0.3">
      <c r="A2" s="7" t="s">
        <v>0</v>
      </c>
      <c r="B2" s="8">
        <v>1</v>
      </c>
      <c r="C2" s="9" t="s">
        <v>2</v>
      </c>
      <c r="I2" s="40" t="s">
        <v>19</v>
      </c>
      <c r="J2" s="41">
        <v>1</v>
      </c>
    </row>
    <row r="3" spans="1:11" ht="15" thickBot="1" x14ac:dyDescent="0.35">
      <c r="A3" s="10"/>
      <c r="B3" s="11">
        <v>2</v>
      </c>
      <c r="C3" s="12" t="s">
        <v>3</v>
      </c>
      <c r="I3" s="6" t="s">
        <v>20</v>
      </c>
      <c r="J3" s="31">
        <v>1</v>
      </c>
    </row>
    <row r="4" spans="1:11" x14ac:dyDescent="0.3">
      <c r="A4" s="13" t="s">
        <v>1</v>
      </c>
      <c r="B4" s="14">
        <v>1</v>
      </c>
      <c r="C4" s="15" t="s">
        <v>6</v>
      </c>
      <c r="I4" s="6" t="s">
        <v>12</v>
      </c>
      <c r="J4" s="31">
        <v>1</v>
      </c>
    </row>
    <row r="5" spans="1:11" x14ac:dyDescent="0.3">
      <c r="A5" s="16"/>
      <c r="B5" s="17">
        <v>2</v>
      </c>
      <c r="C5" s="18" t="s">
        <v>7</v>
      </c>
      <c r="I5" s="6" t="s">
        <v>21</v>
      </c>
      <c r="J5" s="31">
        <v>100</v>
      </c>
    </row>
    <row r="6" spans="1:11" x14ac:dyDescent="0.3">
      <c r="A6" s="16"/>
      <c r="B6" s="17">
        <v>3</v>
      </c>
      <c r="C6" s="18" t="s">
        <v>10</v>
      </c>
      <c r="I6" s="6" t="s">
        <v>22</v>
      </c>
      <c r="J6" s="31">
        <v>500</v>
      </c>
    </row>
    <row r="7" spans="1:11" ht="15" thickBot="1" x14ac:dyDescent="0.35">
      <c r="A7" s="19"/>
      <c r="B7" s="20">
        <v>4</v>
      </c>
      <c r="C7" s="21" t="s">
        <v>11</v>
      </c>
      <c r="I7" s="1" t="s">
        <v>23</v>
      </c>
      <c r="J7" s="2">
        <v>500000</v>
      </c>
    </row>
    <row r="8" spans="1:11" x14ac:dyDescent="0.3">
      <c r="A8" s="22" t="s">
        <v>12</v>
      </c>
      <c r="B8" s="23">
        <v>1</v>
      </c>
      <c r="C8" s="24" t="s">
        <v>13</v>
      </c>
      <c r="I8" s="38"/>
      <c r="J8" s="39"/>
    </row>
    <row r="9" spans="1:11" ht="15" thickBot="1" x14ac:dyDescent="0.35">
      <c r="A9" s="25"/>
      <c r="B9" s="26">
        <v>2</v>
      </c>
      <c r="C9" s="27" t="s">
        <v>14</v>
      </c>
    </row>
    <row r="10" spans="1:11" ht="15" thickBot="1" x14ac:dyDescent="0.35">
      <c r="A10" s="25"/>
      <c r="B10" s="26">
        <v>3</v>
      </c>
      <c r="C10" s="27" t="s">
        <v>15</v>
      </c>
      <c r="H10" s="36" t="s">
        <v>25</v>
      </c>
      <c r="I10" s="32" t="s">
        <v>26</v>
      </c>
      <c r="J10" s="33" t="s">
        <v>27</v>
      </c>
    </row>
    <row r="11" spans="1:11" ht="15" thickBot="1" x14ac:dyDescent="0.35">
      <c r="A11" s="28"/>
      <c r="B11" s="29">
        <v>4</v>
      </c>
      <c r="C11" s="30" t="s">
        <v>16</v>
      </c>
      <c r="I11" s="6" t="s">
        <v>28</v>
      </c>
      <c r="J11" s="37">
        <f>IF(J7&lt;=200000,775,IF(J7&lt;=450000,1550,IF(J7&lt;=1200000,3100,IF(J7&lt;=2700000,8530,IF(J7&lt;=4200000,12000,IF(J7&lt;=5500000,15500,IF(J7&lt;=7000000,20000,IF(J7&lt;=8000000,23000,IF(J7&lt;=9000000,25000,IF(J7&lt;=10000000,27000,30000))))))))))</f>
        <v>3100</v>
      </c>
    </row>
    <row r="12" spans="1:11" ht="15" customHeight="1" x14ac:dyDescent="0.3">
      <c r="I12" s="6" t="s">
        <v>29</v>
      </c>
      <c r="J12" s="31">
        <f xml:space="preserve"> IF(J7/I19&lt;=8500, MAX(2.5*J6*I19, 0.54*J7), IF(J7/I19&lt;=16700, MAX(3.5*J6*I19, 0.48*\J7), IF(J7/I19&lt;=42300, MAX(5.5*J6*I19, 0.48*J7), IF(J7/I19&lt;=84500, MAX(7.5*J6*I19, 0.48*J7), IF(J7/I19&lt;=169000, MAX(15*J6*I19, 0.48*J7), IF(J7/I19&gt;169000, MAX(20*J6*I19, 0.48*J7)))))))</f>
        <v>270000</v>
      </c>
      <c r="K12" t="s">
        <v>35</v>
      </c>
    </row>
    <row r="13" spans="1:11" x14ac:dyDescent="0.3">
      <c r="I13" s="6" t="s">
        <v>30</v>
      </c>
      <c r="J13" s="31">
        <f>IF(J2=1,IF(J3&lt;3,20000*0.17,20000*0.26),IF(J2=2,IF(B1&lt;3,IF(AND(J6&gt;=0,J6&lt;=1000),150000*2.41,IF(AND(J6&gt;1000,J6&lt;=2000),150000*8.92,IF(AND(J6&gt;2000,J6&lt;=3000),150000*14.08,IF(AND(J6&gt;3000,J6&lt;=3500),150000*12.98,IF(J6&gt;3500,150000*22.25,150000*1.63))))),IF(J3&gt;=2,IF(AND(J6&gt;=0,J6&lt;=1000),150000*6.15,IF(AND(J6&gt;1000,J6&lt;=2000),150000*15.69,IF(AND(J6&gt;2000,J6&lt;=3000),150000*24.01,IF(AND(J6&gt;3000,J6&lt;=3500),150000*28.5,IF(J6&gt;3500,150000*35.01,150000*6.1))))),0))))</f>
        <v>3400.0000000000005</v>
      </c>
    </row>
    <row r="14" spans="1:11" x14ac:dyDescent="0.3">
      <c r="I14" s="6" t="s">
        <v>31</v>
      </c>
      <c r="J14" s="31">
        <f>IF(J2=2, SUM(J12, J15, J7)*0.2, 0)</f>
        <v>0</v>
      </c>
    </row>
    <row r="15" spans="1:11" ht="15" thickBot="1" x14ac:dyDescent="0.35">
      <c r="I15" s="1" t="s">
        <v>32</v>
      </c>
      <c r="J15" s="2">
        <f>IF(J2=1, 0, IF(J5&lt;=90, 0, IF(J5&lt;=150, J5*55, IF(J5&lt;=200, J5*531, IF(J5&lt;=300, J5*869, IF(J5&lt;=400, J5*1482, IF(J5&lt;=500, J5*1534, J5*1584)))))))</f>
        <v>0</v>
      </c>
    </row>
    <row r="16" spans="1:11" ht="15" thickBot="1" x14ac:dyDescent="0.35">
      <c r="I16" s="35" t="s">
        <v>24</v>
      </c>
      <c r="J16" s="5">
        <f>SUM(J11,J12,J13,J14,J15)</f>
        <v>276500</v>
      </c>
    </row>
    <row r="18" spans="8:10" ht="15" thickBot="1" x14ac:dyDescent="0.35"/>
    <row r="19" spans="8:10" ht="15" thickBot="1" x14ac:dyDescent="0.35">
      <c r="H19" s="36" t="s">
        <v>33</v>
      </c>
      <c r="I19" s="34">
        <v>86</v>
      </c>
    </row>
    <row r="21" spans="8:10" x14ac:dyDescent="0.3">
      <c r="J21" t="s">
        <v>34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26"/>
  <sheetViews>
    <sheetView tabSelected="1" topLeftCell="B1" workbookViewId="0">
      <selection activeCell="H5" sqref="H5"/>
    </sheetView>
  </sheetViews>
  <sheetFormatPr defaultRowHeight="14.4" x14ac:dyDescent="0.3"/>
  <cols>
    <col min="1" max="1" width="17.77734375" style="42" customWidth="1"/>
    <col min="2" max="2" width="19.33203125" style="42" customWidth="1"/>
    <col min="3" max="3" width="14" style="42" customWidth="1"/>
    <col min="4" max="4" width="19.21875" style="42" customWidth="1"/>
    <col min="5" max="5" width="16.109375" style="42" customWidth="1"/>
    <col min="6" max="6" width="21" style="42" customWidth="1"/>
    <col min="7" max="7" width="30.109375" style="47" customWidth="1"/>
    <col min="8" max="8" width="20.109375" style="42" customWidth="1"/>
    <col min="9" max="9" width="20.44140625" style="42" customWidth="1"/>
    <col min="10" max="10" width="8.88671875" style="47"/>
    <col min="11" max="11" width="8.88671875" style="42"/>
    <col min="12" max="12" width="9.5546875" style="42" bestFit="1" customWidth="1"/>
  </cols>
  <sheetData>
    <row r="1" spans="1:12" ht="15" thickBot="1" x14ac:dyDescent="0.35">
      <c r="A1" s="44" t="s">
        <v>19</v>
      </c>
      <c r="B1" s="44" t="s">
        <v>1</v>
      </c>
      <c r="C1" s="44" t="s">
        <v>12</v>
      </c>
      <c r="D1" s="44" t="s">
        <v>36</v>
      </c>
      <c r="E1" s="44" t="s">
        <v>37</v>
      </c>
      <c r="F1" s="44" t="s">
        <v>38</v>
      </c>
      <c r="G1" s="48" t="s">
        <v>28</v>
      </c>
      <c r="H1" s="45" t="s">
        <v>29</v>
      </c>
      <c r="I1" s="45" t="s">
        <v>30</v>
      </c>
      <c r="J1" s="48" t="s">
        <v>31</v>
      </c>
      <c r="K1" s="45" t="s">
        <v>32</v>
      </c>
      <c r="L1" s="45" t="s">
        <v>39</v>
      </c>
    </row>
    <row r="2" spans="1:12" x14ac:dyDescent="0.3">
      <c r="A2" s="46">
        <v>1</v>
      </c>
      <c r="B2" s="46">
        <v>1</v>
      </c>
      <c r="C2" s="46">
        <v>1</v>
      </c>
      <c r="D2" s="46">
        <v>100</v>
      </c>
      <c r="E2" s="46">
        <v>500</v>
      </c>
      <c r="F2" s="46">
        <v>500000</v>
      </c>
      <c r="G2" s="46">
        <f>IF(F2&lt;=200000,775,IF(F2&lt;=450000,1550,IF(F2&lt;=1200000,3100,IF(F2&lt;=2700000,8530,IF(F2&lt;=4200000,12000,IF(F2&lt;=5500000,15500,IF(F2&lt;=7000000,20000,IF(F2&lt;=8000000,23000,IF(F2&lt;=9000000,25000,IF(F2&lt;=10000000,27000,30000))))))))))</f>
        <v>3100</v>
      </c>
      <c r="H2" s="46">
        <f xml:space="preserve"> IF(500000/86&lt;=8500, MAX(2.5*500*86, 0.54*500000), IF(500000/86&lt;=16700, MAX(3.5*500*86, 0.48*500000), IF(500000/86&lt;=42300, MAX(5.5*500*86, 0.48*500000), IF(500000/I19&lt;=84500, MAX(7.5*500*86, 0.48*500000), IF(500000/86&lt;=169000, MAX(15*500*86, 0.48*500000), IF(500000/I19&gt;169000, MAX(20*500*86, 0.48*500000)))))))</f>
        <v>270000</v>
      </c>
      <c r="I2" s="46">
        <f>IF(A2=1,IF(B2=1,20000*0.17,20000*0.26),IF(A2=2,IF(B2=1,IF(AND(E2&gt;=0,E2&lt;=1000),150000*2.41,IF(AND(E2&gt;1000,E2&lt;=2000),150000*8.92,IF(AND(E2&gt;2000,E2&lt;=3000),150000*14.08,IF(AND(E2&gt;3000,E2&lt;=3500),150000*12.98,IF(E2&gt;3500,150000*22.25,150000*1.63))))),IF(B2&gt;=2,IF(AND(E2&gt;=0,E2&lt;=1000),150000*6.15,IF(AND(E2&gt;1000,E2&lt;=2000),150000*15.69,IF(AND(E2&gt;2000,E2&lt;=3000),150000*24.01,IF(AND(E2&gt;3000,E2&lt;=3500),150000*28.5,IF(E2&gt;3500,150000*35.01,150000*6.1))))),0))))</f>
        <v>3400.0000000000005</v>
      </c>
      <c r="J2" s="46">
        <f>IF(A2=2, SUM(H2, K1, F2)*0.2, 0)</f>
        <v>0</v>
      </c>
      <c r="K2" s="46">
        <f>IF(A2=1, 0, IF(D2&lt;=90, 0, IF(D2&lt;=150, D2*55, IF(D2&lt;=200, D2*531, IF(D2&lt;=300, D2*869, IF(D2&lt;=400, D2*1482, IF(D2&lt;=500, D2*1534, D2*1584)))))))</f>
        <v>0</v>
      </c>
      <c r="L2" s="46">
        <f>SUM(G2,H2,I2,J2,K2)</f>
        <v>276500</v>
      </c>
    </row>
    <row r="3" spans="1:12" x14ac:dyDescent="0.3">
      <c r="A3" s="46">
        <v>2</v>
      </c>
      <c r="B3" s="46">
        <v>2</v>
      </c>
      <c r="C3" s="46">
        <v>2</v>
      </c>
      <c r="D3" s="46">
        <v>300</v>
      </c>
      <c r="E3" s="46">
        <v>500</v>
      </c>
      <c r="F3" s="46">
        <v>2500000</v>
      </c>
      <c r="G3" s="46">
        <f t="shared" ref="G3:G26" si="0">IF(F3&lt;=200000,775,IF(F3&lt;=450000,1550,IF(F3&lt;=1200000,3100,IF(F3&lt;=2700000,8530,IF(F3&lt;=4200000,12000,IF(F3&lt;=5500000,15500,IF(F3&lt;=7000000,20000,IF(F3&lt;=8000000,23000,IF(F3&lt;=9000000,25000,IF(F3&lt;=10000000,27000,30000))))))))))</f>
        <v>8530</v>
      </c>
      <c r="H3" s="47">
        <f xml:space="preserve"> IF(2=2, IF(500&lt;=1500, MAX(0.32*500*86, 0.2*2500000), IF(500&lt;=2500, MAX(0.4*500*86, 0.2*2500000), IF(500&gt;2500, MAX(0.8*500*86, 0.2*2500000)))))</f>
        <v>500000</v>
      </c>
      <c r="I3" s="46">
        <f>IF(A3=1,IF(B3=1,20000*0.17,20000*0.26),IF(A3=2,IF(B3=1,IF(AND(E3&gt;=0,E3&lt;=1000),150000*2.41,IF(AND(E3&gt;1000,E3&lt;=2000),150000*8.92,IF(AND(E3&gt;2000,E3&lt;=3000),150000*14.08,IF(AND(E3&gt;3000,E3&lt;=3500),150000*12.98,IF(E3&gt;3500,150000*22.25,150000*1.63))))),IF(B3&gt;=2,IF(AND(E3&gt;=0,E3&lt;=1000),150000*6.15,IF(AND(E3&gt;1000,E3&lt;=2000),150000*15.69,IF(AND(E3&gt;2000,E3&lt;=3000),150000*24.01,IF(AND(E3&gt;3000,E3&lt;=3500),150000*28.5,IF(E3&gt;3500,150000*35.01,150000*6.1))))),0))))</f>
        <v>922500</v>
      </c>
      <c r="J3" s="46">
        <f t="shared" ref="J3:J26" si="1">IF(A3=2, SUM(H3, K2, F3)*0.2, 0)</f>
        <v>600000</v>
      </c>
      <c r="K3" s="46">
        <f>IF(A3=1, 0, IF(D3&lt;=90, 0, IF(D3&lt;=150, D3*55, IF(D3&lt;=200, D3*531, IF(D3&lt;=300, D3*869, IF(D3&lt;=400, D3*1482, IF(D3&lt;=500, D3*1534, D3*1584)))))))</f>
        <v>260700</v>
      </c>
      <c r="L3" s="46">
        <f>SUM(G3,H3,I3,J3,K3)</f>
        <v>2291730</v>
      </c>
    </row>
    <row r="4" spans="1:12" x14ac:dyDescent="0.3">
      <c r="A4" s="46">
        <v>1</v>
      </c>
      <c r="B4" s="46">
        <v>2</v>
      </c>
      <c r="C4" s="46">
        <v>1</v>
      </c>
      <c r="D4" s="46">
        <v>100</v>
      </c>
      <c r="E4" s="46">
        <v>700</v>
      </c>
      <c r="F4" s="46">
        <v>1000000</v>
      </c>
      <c r="G4" s="46">
        <f t="shared" si="0"/>
        <v>3100</v>
      </c>
      <c r="H4" s="42">
        <f xml:space="preserve"> IF(2=2, IF(700&lt;=1000, 1.5*700*86, IF(700&lt;=1500, 1.7*700*86,IF(700&lt;=1800, 2.5*700*86,IF(700&lt;=2300, 2.7*700*86,IF(700&lt;=3000, 3*700*86,IF(700&gt;3000, 3.6*700*86)))))))</f>
        <v>90300</v>
      </c>
      <c r="I4" s="43">
        <f t="shared" ref="I4:I26" si="2">IF(A4=1,IF(B4=1,20000*0.17,20000*0.26),IF(A4=2,IF(B4=1,IF(AND(E4&gt;=0,E4&lt;=1000),150000*2.41,IF(AND(E4&gt;1000,E4&lt;=2000),150000*8.92,IF(AND(E4&gt;2000,E4&lt;=3000),150000*14.08,IF(AND(E4&gt;3000,E4&lt;=3500),150000*12.98,IF(E4&gt;3500,150000*22.25,150000*1.63))))),IF(B4&gt;=2,IF(AND(E4&gt;=0,E4&lt;=1000),150000*6.15,IF(AND(E4&gt;1000,E4&lt;=2000),150000*15.69,IF(AND(E4&gt;2000,E4&lt;=3000),150000*24.01,IF(AND(E4&gt;3000,E4&lt;=3500),150000*28.5,IF(E4&gt;3500,150000*35.01,150000*6.1))))),0))))</f>
        <v>5200</v>
      </c>
      <c r="J4" s="46">
        <f t="shared" si="1"/>
        <v>0</v>
      </c>
      <c r="K4" s="43">
        <f t="shared" ref="K4:K26" si="3">IF(A4=1, 0, IF(D4&lt;=90, 0, IF(D4&lt;=150, D4*55, IF(D4&lt;=200, D4*531, IF(D4&lt;=300, D4*869, IF(D4&lt;=400, D4*1482, IF(D4&lt;=500, D4*1534, D4*1584)))))))</f>
        <v>0</v>
      </c>
      <c r="L4" s="43">
        <f t="shared" ref="L4:L26" si="4">SUM(G4,H4,I4,J4,K4)</f>
        <v>98600</v>
      </c>
    </row>
    <row r="5" spans="1:12" x14ac:dyDescent="0.3">
      <c r="G5" s="46">
        <f t="shared" si="0"/>
        <v>775</v>
      </c>
      <c r="I5" s="43" t="b">
        <f t="shared" si="2"/>
        <v>0</v>
      </c>
      <c r="J5" s="46">
        <f t="shared" si="1"/>
        <v>0</v>
      </c>
      <c r="K5" s="43">
        <f t="shared" si="3"/>
        <v>0</v>
      </c>
      <c r="L5" s="43">
        <f t="shared" si="4"/>
        <v>775</v>
      </c>
    </row>
    <row r="6" spans="1:12" x14ac:dyDescent="0.3">
      <c r="G6" s="46">
        <f t="shared" si="0"/>
        <v>775</v>
      </c>
      <c r="I6" s="43" t="b">
        <f t="shared" si="2"/>
        <v>0</v>
      </c>
      <c r="J6" s="46">
        <f t="shared" si="1"/>
        <v>0</v>
      </c>
      <c r="K6" s="43">
        <f t="shared" si="3"/>
        <v>0</v>
      </c>
      <c r="L6" s="43">
        <f t="shared" si="4"/>
        <v>775</v>
      </c>
    </row>
    <row r="7" spans="1:12" x14ac:dyDescent="0.3">
      <c r="G7" s="46">
        <f t="shared" si="0"/>
        <v>775</v>
      </c>
      <c r="I7" s="43" t="b">
        <f t="shared" si="2"/>
        <v>0</v>
      </c>
      <c r="J7" s="46">
        <f t="shared" si="1"/>
        <v>0</v>
      </c>
      <c r="K7" s="43">
        <f t="shared" si="3"/>
        <v>0</v>
      </c>
      <c r="L7" s="43">
        <f t="shared" si="4"/>
        <v>775</v>
      </c>
    </row>
    <row r="8" spans="1:12" x14ac:dyDescent="0.3">
      <c r="G8" s="46">
        <f t="shared" si="0"/>
        <v>775</v>
      </c>
      <c r="I8" s="43" t="b">
        <f t="shared" si="2"/>
        <v>0</v>
      </c>
      <c r="J8" s="46">
        <f t="shared" si="1"/>
        <v>0</v>
      </c>
      <c r="K8" s="43">
        <f t="shared" si="3"/>
        <v>0</v>
      </c>
      <c r="L8" s="43">
        <f t="shared" si="4"/>
        <v>775</v>
      </c>
    </row>
    <row r="9" spans="1:12" x14ac:dyDescent="0.3">
      <c r="G9" s="46">
        <f t="shared" si="0"/>
        <v>775</v>
      </c>
      <c r="I9" s="43" t="b">
        <f t="shared" si="2"/>
        <v>0</v>
      </c>
      <c r="J9" s="46">
        <f t="shared" si="1"/>
        <v>0</v>
      </c>
      <c r="K9" s="43">
        <f t="shared" si="3"/>
        <v>0</v>
      </c>
      <c r="L9" s="43">
        <f t="shared" si="4"/>
        <v>775</v>
      </c>
    </row>
    <row r="10" spans="1:12" x14ac:dyDescent="0.3">
      <c r="G10" s="46">
        <f t="shared" si="0"/>
        <v>775</v>
      </c>
      <c r="I10" s="43" t="b">
        <f t="shared" si="2"/>
        <v>0</v>
      </c>
      <c r="J10" s="46">
        <f t="shared" si="1"/>
        <v>0</v>
      </c>
      <c r="K10" s="43">
        <f t="shared" si="3"/>
        <v>0</v>
      </c>
      <c r="L10" s="43">
        <f t="shared" si="4"/>
        <v>775</v>
      </c>
    </row>
    <row r="11" spans="1:12" x14ac:dyDescent="0.3">
      <c r="G11" s="46">
        <f t="shared" si="0"/>
        <v>775</v>
      </c>
      <c r="I11" s="43" t="b">
        <f t="shared" si="2"/>
        <v>0</v>
      </c>
      <c r="J11" s="46">
        <f t="shared" si="1"/>
        <v>0</v>
      </c>
      <c r="K11" s="43">
        <f t="shared" si="3"/>
        <v>0</v>
      </c>
      <c r="L11" s="43">
        <f t="shared" si="4"/>
        <v>775</v>
      </c>
    </row>
    <row r="12" spans="1:12" x14ac:dyDescent="0.3">
      <c r="G12" s="46">
        <f t="shared" si="0"/>
        <v>775</v>
      </c>
      <c r="I12" s="43" t="b">
        <f t="shared" si="2"/>
        <v>0</v>
      </c>
      <c r="J12" s="46">
        <f t="shared" si="1"/>
        <v>0</v>
      </c>
      <c r="K12" s="43">
        <f t="shared" si="3"/>
        <v>0</v>
      </c>
      <c r="L12" s="43">
        <f t="shared" si="4"/>
        <v>775</v>
      </c>
    </row>
    <row r="13" spans="1:12" x14ac:dyDescent="0.3">
      <c r="G13" s="46">
        <f t="shared" si="0"/>
        <v>775</v>
      </c>
      <c r="I13" s="43" t="b">
        <f t="shared" si="2"/>
        <v>0</v>
      </c>
      <c r="J13" s="46">
        <f t="shared" si="1"/>
        <v>0</v>
      </c>
      <c r="K13" s="43">
        <f t="shared" si="3"/>
        <v>0</v>
      </c>
      <c r="L13" s="43">
        <f t="shared" si="4"/>
        <v>775</v>
      </c>
    </row>
    <row r="14" spans="1:12" x14ac:dyDescent="0.3">
      <c r="G14" s="46">
        <f t="shared" si="0"/>
        <v>775</v>
      </c>
      <c r="I14" s="43" t="b">
        <f t="shared" si="2"/>
        <v>0</v>
      </c>
      <c r="J14" s="46">
        <f t="shared" si="1"/>
        <v>0</v>
      </c>
      <c r="K14" s="43">
        <f t="shared" si="3"/>
        <v>0</v>
      </c>
      <c r="L14" s="43">
        <f t="shared" si="4"/>
        <v>775</v>
      </c>
    </row>
    <row r="15" spans="1:12" x14ac:dyDescent="0.3">
      <c r="G15" s="46">
        <f t="shared" si="0"/>
        <v>775</v>
      </c>
      <c r="I15" s="43" t="b">
        <f t="shared" si="2"/>
        <v>0</v>
      </c>
      <c r="J15" s="46">
        <f t="shared" si="1"/>
        <v>0</v>
      </c>
      <c r="K15" s="43">
        <f t="shared" si="3"/>
        <v>0</v>
      </c>
      <c r="L15" s="43">
        <f t="shared" si="4"/>
        <v>775</v>
      </c>
    </row>
    <row r="16" spans="1:12" x14ac:dyDescent="0.3">
      <c r="G16" s="46">
        <f t="shared" si="0"/>
        <v>775</v>
      </c>
      <c r="I16" s="43" t="b">
        <f t="shared" si="2"/>
        <v>0</v>
      </c>
      <c r="J16" s="46">
        <f t="shared" si="1"/>
        <v>0</v>
      </c>
      <c r="K16" s="43">
        <f t="shared" si="3"/>
        <v>0</v>
      </c>
      <c r="L16" s="43">
        <f t="shared" si="4"/>
        <v>775</v>
      </c>
    </row>
    <row r="17" spans="7:12" x14ac:dyDescent="0.3">
      <c r="G17" s="46">
        <f t="shared" si="0"/>
        <v>775</v>
      </c>
      <c r="I17" s="43" t="b">
        <f t="shared" si="2"/>
        <v>0</v>
      </c>
      <c r="J17" s="46">
        <f t="shared" si="1"/>
        <v>0</v>
      </c>
      <c r="K17" s="43">
        <f t="shared" si="3"/>
        <v>0</v>
      </c>
      <c r="L17" s="43">
        <f t="shared" si="4"/>
        <v>775</v>
      </c>
    </row>
    <row r="18" spans="7:12" x14ac:dyDescent="0.3">
      <c r="G18" s="46">
        <f t="shared" si="0"/>
        <v>775</v>
      </c>
      <c r="I18" s="43" t="b">
        <f t="shared" si="2"/>
        <v>0</v>
      </c>
      <c r="J18" s="46">
        <f t="shared" si="1"/>
        <v>0</v>
      </c>
      <c r="K18" s="43">
        <f t="shared" si="3"/>
        <v>0</v>
      </c>
      <c r="L18" s="43">
        <f t="shared" si="4"/>
        <v>775</v>
      </c>
    </row>
    <row r="19" spans="7:12" x14ac:dyDescent="0.3">
      <c r="G19" s="46">
        <f t="shared" si="0"/>
        <v>775</v>
      </c>
      <c r="I19" s="43" t="b">
        <f t="shared" si="2"/>
        <v>0</v>
      </c>
      <c r="J19" s="46">
        <f t="shared" si="1"/>
        <v>0</v>
      </c>
      <c r="K19" s="43">
        <f t="shared" si="3"/>
        <v>0</v>
      </c>
      <c r="L19" s="43">
        <f t="shared" si="4"/>
        <v>775</v>
      </c>
    </row>
    <row r="20" spans="7:12" x14ac:dyDescent="0.3">
      <c r="G20" s="46">
        <f t="shared" si="0"/>
        <v>775</v>
      </c>
      <c r="I20" s="43" t="b">
        <f t="shared" si="2"/>
        <v>0</v>
      </c>
      <c r="J20" s="46">
        <f t="shared" si="1"/>
        <v>0</v>
      </c>
      <c r="K20" s="43">
        <f t="shared" si="3"/>
        <v>0</v>
      </c>
      <c r="L20" s="43">
        <f t="shared" si="4"/>
        <v>775</v>
      </c>
    </row>
    <row r="21" spans="7:12" x14ac:dyDescent="0.3">
      <c r="G21" s="46">
        <f t="shared" si="0"/>
        <v>775</v>
      </c>
      <c r="I21" s="43" t="b">
        <f t="shared" si="2"/>
        <v>0</v>
      </c>
      <c r="J21" s="46">
        <f t="shared" si="1"/>
        <v>0</v>
      </c>
      <c r="K21" s="43">
        <f t="shared" si="3"/>
        <v>0</v>
      </c>
      <c r="L21" s="43">
        <f t="shared" si="4"/>
        <v>775</v>
      </c>
    </row>
    <row r="22" spans="7:12" x14ac:dyDescent="0.3">
      <c r="G22" s="46">
        <f t="shared" si="0"/>
        <v>775</v>
      </c>
      <c r="I22" s="43" t="b">
        <f t="shared" si="2"/>
        <v>0</v>
      </c>
      <c r="J22" s="46">
        <f t="shared" si="1"/>
        <v>0</v>
      </c>
      <c r="K22" s="43">
        <f t="shared" si="3"/>
        <v>0</v>
      </c>
      <c r="L22" s="43">
        <f t="shared" si="4"/>
        <v>775</v>
      </c>
    </row>
    <row r="23" spans="7:12" x14ac:dyDescent="0.3">
      <c r="G23" s="46">
        <f t="shared" si="0"/>
        <v>775</v>
      </c>
      <c r="I23" s="43" t="b">
        <f t="shared" si="2"/>
        <v>0</v>
      </c>
      <c r="J23" s="46">
        <f t="shared" si="1"/>
        <v>0</v>
      </c>
      <c r="K23" s="43">
        <f t="shared" si="3"/>
        <v>0</v>
      </c>
      <c r="L23" s="43">
        <f t="shared" si="4"/>
        <v>775</v>
      </c>
    </row>
    <row r="24" spans="7:12" x14ac:dyDescent="0.3">
      <c r="G24" s="46">
        <f t="shared" si="0"/>
        <v>775</v>
      </c>
      <c r="I24" s="43" t="b">
        <f t="shared" si="2"/>
        <v>0</v>
      </c>
      <c r="J24" s="46">
        <f t="shared" si="1"/>
        <v>0</v>
      </c>
      <c r="K24" s="43">
        <f t="shared" si="3"/>
        <v>0</v>
      </c>
      <c r="L24" s="43">
        <f t="shared" si="4"/>
        <v>775</v>
      </c>
    </row>
    <row r="25" spans="7:12" x14ac:dyDescent="0.3">
      <c r="G25" s="46">
        <f t="shared" si="0"/>
        <v>775</v>
      </c>
      <c r="I25" s="43" t="b">
        <f t="shared" si="2"/>
        <v>0</v>
      </c>
      <c r="J25" s="46">
        <f t="shared" si="1"/>
        <v>0</v>
      </c>
      <c r="K25" s="43">
        <f t="shared" si="3"/>
        <v>0</v>
      </c>
      <c r="L25" s="43">
        <f t="shared" si="4"/>
        <v>775</v>
      </c>
    </row>
    <row r="26" spans="7:12" x14ac:dyDescent="0.3">
      <c r="G26" s="46">
        <f t="shared" si="0"/>
        <v>775</v>
      </c>
      <c r="I26" s="43" t="b">
        <f t="shared" si="2"/>
        <v>0</v>
      </c>
      <c r="J26" s="46">
        <f t="shared" si="1"/>
        <v>0</v>
      </c>
      <c r="K26" s="43">
        <f t="shared" si="3"/>
        <v>0</v>
      </c>
      <c r="L26" s="43">
        <f t="shared" si="4"/>
        <v>775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2023-05-30T15:10:51Z</dcterms:modified>
</cp:coreProperties>
</file>